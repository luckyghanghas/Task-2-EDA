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Monthly Trend Analysis" sheetId="2" state="visible" r:id="rId2"/>
    <sheet name="Category &amp; Segment Breakdow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i val="1"/>
      <color rgb="006B7280"/>
      <sz val="10"/>
    </font>
    <font>
      <name val="Segoe UI"/>
      <b val="1"/>
      <color rgb="006B7280"/>
      <sz val="9"/>
    </font>
    <font>
      <name val="Segoe UI"/>
      <b val="1"/>
      <color rgb="004F46E5"/>
      <sz val="16"/>
    </font>
    <font>
      <name val="Segoe UI"/>
      <b val="1"/>
      <color rgb="001F2937"/>
      <sz val="13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1F2937"/>
      <sz val="15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4F46E5"/>
        <bgColor rgb="004F46E5"/>
      </patternFill>
    </fill>
    <fill>
      <patternFill patternType="solid">
        <fgColor rgb="00F3F4F6"/>
        <bgColor rgb="00F3F4F6"/>
      </patternFill>
    </fill>
  </fills>
  <borders count="4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4F46E5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top style="thin">
        <color rgb="00E5E7EB"/>
      </top>
      <bottom style="double">
        <color rgb="0037415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1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4" fontId="7" fillId="0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right" vertical="center"/>
    </xf>
    <xf numFmtId="0" fontId="7" fillId="5" borderId="2" applyAlignment="1" pivotButton="0" quotePrefix="0" xfId="0">
      <alignment horizontal="left" vertical="center"/>
    </xf>
    <xf numFmtId="164" fontId="7" fillId="5" borderId="2" applyAlignment="1" pivotButton="0" quotePrefix="0" xfId="0">
      <alignment horizontal="right" vertical="center"/>
    </xf>
    <xf numFmtId="3" fontId="7" fillId="5" borderId="2" applyAlignment="1" pivotButton="0" quotePrefix="0" xfId="0">
      <alignment horizontal="right" vertical="center"/>
    </xf>
    <xf numFmtId="10" fontId="7" fillId="5" borderId="2" applyAlignment="1" pivotButton="0" quotePrefix="0" xfId="0">
      <alignment horizontal="right" vertical="center"/>
    </xf>
    <xf numFmtId="0" fontId="8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/>
    </xf>
    <xf numFmtId="164" fontId="9" fillId="0" borderId="3" pivotButton="0" quotePrefix="0" xfId="0"/>
    <xf numFmtId="3" fontId="9" fillId="0" borderId="3" pivotButton="0" quotePrefix="0" xfId="0"/>
    <xf numFmtId="10" fontId="9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22" customWidth="1" min="4" max="4"/>
    <col width="24" customWidth="1" min="5" max="5"/>
    <col width="4" customWidth="1" min="6" max="6"/>
    <col width="22" customWidth="1" min="7" max="7"/>
    <col width="22" customWidth="1" min="8" max="8"/>
    <col width="15" customWidth="1" min="9" max="9"/>
    <col width="22" customWidth="1" min="10" max="10"/>
    <col width="23" customWidth="1" min="11" max="11"/>
  </cols>
  <sheetData>
    <row r="1" ht="25" customHeight="1">
      <c r="A1" s="1" t="inlineStr">
        <is>
          <t>SALES PERFORMANCE EXECUTIVE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Interactive executive static mockup representing the cleaned retail transactions database.</t>
        </is>
      </c>
    </row>
    <row r="4"/>
    <row r="5" ht="18" customHeight="1">
      <c r="A5" s="4" t="inlineStr">
        <is>
          <t>TOTAL REVENUE</t>
        </is>
      </c>
      <c r="B5" s="5" t="n"/>
      <c r="C5" s="4" t="inlineStr">
        <is>
          <t>TOTAL ORDERS</t>
        </is>
      </c>
      <c r="D5" s="5" t="n"/>
      <c r="E5" s="4" t="inlineStr">
        <is>
          <t>AVERAGE ORDER VALUE</t>
        </is>
      </c>
      <c r="F5" s="5" t="n"/>
      <c r="G5" s="4" t="inlineStr">
        <is>
          <t>GROSS MARGIN</t>
        </is>
      </c>
      <c r="H5" s="5" t="n"/>
      <c r="I5" s="4" t="inlineStr">
        <is>
          <t>RETURN RATE</t>
        </is>
      </c>
      <c r="J5" s="5" t="n"/>
    </row>
    <row r="6" ht="28" customHeight="1">
      <c r="A6" s="6" t="n">
        <v>5328492.4</v>
      </c>
      <c r="B6" s="5" t="n"/>
      <c r="C6" s="7" t="n">
        <v>1250</v>
      </c>
      <c r="D6" s="5" t="n"/>
      <c r="E6" s="6" t="n">
        <v>4262.79392</v>
      </c>
      <c r="F6" s="5" t="n"/>
      <c r="G6" s="8" t="n">
        <v>0.2031999351261156</v>
      </c>
      <c r="H6" s="5" t="n"/>
      <c r="I6" s="8" t="n">
        <v>0.052</v>
      </c>
      <c r="J6" s="5" t="n"/>
    </row>
    <row r="7"/>
    <row r="8"/>
    <row r="9">
      <c r="A9" s="9" t="inlineStr">
        <is>
          <t>TOP PRODUCTS BY REVENUE</t>
        </is>
      </c>
      <c r="G9" s="9" t="inlineStr">
        <is>
          <t>REVENUE BY SALES CHANNEL</t>
        </is>
      </c>
    </row>
    <row r="10" ht="22" customHeight="1">
      <c r="A10" s="10" t="inlineStr">
        <is>
          <t>Product Name</t>
        </is>
      </c>
      <c r="B10" s="10" t="inlineStr">
        <is>
          <t>Revenue ($)</t>
        </is>
      </c>
      <c r="C10" s="10" t="inlineStr">
        <is>
          <t>Orders</t>
        </is>
      </c>
      <c r="D10" s="10" t="inlineStr">
        <is>
          <t>Avg Price ($)</t>
        </is>
      </c>
      <c r="E10" s="10" t="inlineStr">
        <is>
          <t>Return Rate (%)</t>
        </is>
      </c>
      <c r="G10" s="10" t="inlineStr">
        <is>
          <t>Sales Channel</t>
        </is>
      </c>
      <c r="H10" s="10" t="inlineStr">
        <is>
          <t>Revenue ($)</t>
        </is>
      </c>
      <c r="I10" s="10" t="inlineStr">
        <is>
          <t>Orders</t>
        </is>
      </c>
      <c r="J10" s="10" t="inlineStr">
        <is>
          <t>Gross Profit ($)</t>
        </is>
      </c>
      <c r="K10" s="10" t="inlineStr">
        <is>
          <t>Profit Margin %</t>
        </is>
      </c>
    </row>
    <row r="11" ht="18" customHeight="1">
      <c r="A11" s="11" t="inlineStr">
        <is>
          <t>Smart Watch</t>
        </is>
      </c>
      <c r="B11" s="12" t="n">
        <v>1368209.84</v>
      </c>
      <c r="C11" s="13" t="n">
        <v>152</v>
      </c>
      <c r="D11" s="12" t="n">
        <v>6042.260592105263</v>
      </c>
      <c r="E11" s="14" t="n">
        <v>0.07236842105263158</v>
      </c>
      <c r="G11" s="11" t="inlineStr">
        <is>
          <t>Website</t>
        </is>
      </c>
      <c r="H11" s="12" t="n">
        <v>2464279.62</v>
      </c>
      <c r="I11" s="13" t="n">
        <v>592</v>
      </c>
      <c r="J11" s="12" t="n">
        <v>488850.64</v>
      </c>
      <c r="K11" s="14" t="n">
        <v>0.1983746633427906</v>
      </c>
    </row>
    <row r="12" ht="18" customHeight="1">
      <c r="A12" s="15" t="inlineStr">
        <is>
          <t>Mechanical Keyboard</t>
        </is>
      </c>
      <c r="B12" s="16" t="n">
        <v>899189.76</v>
      </c>
      <c r="C12" s="17" t="n">
        <v>156</v>
      </c>
      <c r="D12" s="16" t="n">
        <v>3499.894230769231</v>
      </c>
      <c r="E12" s="18" t="n">
        <v>0.01282051282051282</v>
      </c>
      <c r="G12" s="15" t="inlineStr">
        <is>
          <t>Mobile App</t>
        </is>
      </c>
      <c r="H12" s="16" t="n">
        <v>2054498.79</v>
      </c>
      <c r="I12" s="17" t="n">
        <v>456</v>
      </c>
      <c r="J12" s="16" t="n">
        <v>441586.34</v>
      </c>
      <c r="K12" s="18" t="n">
        <v>0.2149362862365083</v>
      </c>
    </row>
    <row r="13" ht="18" customHeight="1">
      <c r="A13" s="11" t="inlineStr">
        <is>
          <t>Webcam Pro</t>
        </is>
      </c>
      <c r="B13" s="12" t="n">
        <v>798137.5</v>
      </c>
      <c r="C13" s="13" t="n">
        <v>169</v>
      </c>
      <c r="D13" s="12" t="n">
        <v>3170.667218934911</v>
      </c>
      <c r="E13" s="14" t="n">
        <v>0.04733727810650887</v>
      </c>
      <c r="G13" s="11" t="inlineStr">
        <is>
          <t>Retail Store</t>
        </is>
      </c>
      <c r="H13" s="12" t="n">
        <v>809713.99</v>
      </c>
      <c r="I13" s="13" t="n">
        <v>202</v>
      </c>
      <c r="J13" s="12" t="n">
        <v>152312.33</v>
      </c>
      <c r="K13" s="14" t="n">
        <v>0.1881063336944444</v>
      </c>
    </row>
    <row r="14" ht="18" customHeight="1">
      <c r="A14" s="15" t="inlineStr">
        <is>
          <t>Bluetooth Headphones</t>
        </is>
      </c>
      <c r="B14" s="16" t="n">
        <v>655422.34</v>
      </c>
      <c r="C14" s="17" t="n">
        <v>151</v>
      </c>
      <c r="D14" s="16" t="n">
        <v>2654.185298013245</v>
      </c>
      <c r="E14" s="18" t="n">
        <v>0.05298013245033113</v>
      </c>
    </row>
    <row r="15" ht="18" customHeight="1">
      <c r="A15" s="11" t="inlineStr">
        <is>
          <t>Portable Speaker</t>
        </is>
      </c>
      <c r="B15" s="12" t="n">
        <v>600264</v>
      </c>
      <c r="C15" s="13" t="n">
        <v>157</v>
      </c>
      <c r="D15" s="12" t="n">
        <v>2208.110063694268</v>
      </c>
      <c r="E15" s="14" t="n">
        <v>0.07643312101910828</v>
      </c>
    </row>
    <row r="16" ht="18" customHeight="1">
      <c r="A16" s="15" t="inlineStr">
        <is>
          <t>USB-C Hub</t>
        </is>
      </c>
      <c r="B16" s="16" t="n">
        <v>506903.56</v>
      </c>
      <c r="C16" s="17" t="n">
        <v>161</v>
      </c>
      <c r="D16" s="16" t="n">
        <v>1911.325403726708</v>
      </c>
      <c r="E16" s="18" t="n">
        <v>0.06832298136645963</v>
      </c>
    </row>
    <row r="17" ht="18" customHeight="1">
      <c r="A17" s="11" t="inlineStr">
        <is>
          <t>Laptop Stand</t>
        </is>
      </c>
      <c r="B17" s="12" t="n">
        <v>296637.2</v>
      </c>
      <c r="C17" s="13" t="n">
        <v>143</v>
      </c>
      <c r="D17" s="12" t="n">
        <v>1307.753636363636</v>
      </c>
      <c r="E17" s="14" t="n">
        <v>0.04895104895104895</v>
      </c>
    </row>
    <row r="18" ht="18" customHeight="1">
      <c r="A18" s="15" t="inlineStr">
        <is>
          <t>Wireless Mouse</t>
        </is>
      </c>
      <c r="B18" s="16" t="n">
        <v>203728.2</v>
      </c>
      <c r="C18" s="17" t="n">
        <v>161</v>
      </c>
      <c r="D18" s="16" t="n">
        <v>798.9701242236025</v>
      </c>
      <c r="E18" s="18" t="n">
        <v>0.03726708074534162</v>
      </c>
    </row>
    <row r="19"/>
    <row r="20"/>
    <row r="21">
      <c r="A21" s="9" t="inlineStr">
        <is>
          <t>PERFORMANCE BY REGION</t>
        </is>
      </c>
      <c r="G21" s="9" t="inlineStr">
        <is>
          <t>MARKETING CAMPAIGN SUMMARY</t>
        </is>
      </c>
    </row>
    <row r="22" ht="22" customHeight="1">
      <c r="A22" s="10" t="inlineStr">
        <is>
          <t>Region</t>
        </is>
      </c>
      <c r="B22" s="10" t="inlineStr">
        <is>
          <t>Revenue ($)</t>
        </is>
      </c>
      <c r="C22" s="10" t="inlineStr">
        <is>
          <t>Orders</t>
        </is>
      </c>
      <c r="D22" s="10" t="inlineStr">
        <is>
          <t>Gross Profit ($)</t>
        </is>
      </c>
      <c r="E22" s="10" t="inlineStr">
        <is>
          <t>Return Rate (%)</t>
        </is>
      </c>
      <c r="G22" s="10" t="inlineStr">
        <is>
          <t>Campaign</t>
        </is>
      </c>
      <c r="H22" s="10" t="inlineStr">
        <is>
          <t>Revenue ($)</t>
        </is>
      </c>
      <c r="I22" s="10" t="inlineStr">
        <is>
          <t>Orders</t>
        </is>
      </c>
      <c r="J22" s="10" t="inlineStr">
        <is>
          <t>Gross Profit ($)</t>
        </is>
      </c>
      <c r="K22" s="10" t="inlineStr">
        <is>
          <t>Profit Margin %</t>
        </is>
      </c>
    </row>
    <row r="23" ht="18" customHeight="1">
      <c r="A23" s="11" t="inlineStr">
        <is>
          <t>West</t>
        </is>
      </c>
      <c r="B23" s="12" t="n">
        <v>1451298.87</v>
      </c>
      <c r="C23" s="13" t="n">
        <v>339</v>
      </c>
      <c r="D23" s="12" t="n">
        <v>273233.41</v>
      </c>
      <c r="E23" s="14" t="n">
        <v>0.03834808259587021</v>
      </c>
      <c r="G23" s="11" t="inlineStr">
        <is>
          <t>Search Ads</t>
        </is>
      </c>
      <c r="H23" s="12" t="n">
        <v>1034918.19</v>
      </c>
      <c r="I23" s="13" t="n">
        <v>219</v>
      </c>
      <c r="J23" s="12" t="n">
        <v>276020.3</v>
      </c>
      <c r="K23" s="14" t="n">
        <v>0.2667073616707809</v>
      </c>
    </row>
    <row r="24" ht="18" customHeight="1">
      <c r="A24" s="15" t="inlineStr">
        <is>
          <t>South</t>
        </is>
      </c>
      <c r="B24" s="16" t="n">
        <v>1301485.12</v>
      </c>
      <c r="C24" s="17" t="n">
        <v>320</v>
      </c>
      <c r="D24" s="16" t="n">
        <v>250426.93</v>
      </c>
      <c r="E24" s="18" t="n">
        <v>0.07187499999999999</v>
      </c>
      <c r="G24" s="15" t="inlineStr">
        <is>
          <t>Organic</t>
        </is>
      </c>
      <c r="H24" s="16" t="n">
        <v>946146.16</v>
      </c>
      <c r="I24" s="17" t="n">
        <v>217</v>
      </c>
      <c r="J24" s="16" t="n">
        <v>198461.91</v>
      </c>
      <c r="K24" s="18" t="n">
        <v>0.2097581942307941</v>
      </c>
    </row>
    <row r="25" ht="18" customHeight="1">
      <c r="A25" s="11" t="inlineStr">
        <is>
          <t>North</t>
        </is>
      </c>
      <c r="B25" s="12" t="n">
        <v>1288064.81</v>
      </c>
      <c r="C25" s="13" t="n">
        <v>299</v>
      </c>
      <c r="D25" s="12" t="n">
        <v>315503.55</v>
      </c>
      <c r="E25" s="14" t="n">
        <v>0.0568561872909699</v>
      </c>
      <c r="G25" s="11" t="inlineStr">
        <is>
          <t>Referral</t>
        </is>
      </c>
      <c r="H25" s="12" t="n">
        <v>904176.23</v>
      </c>
      <c r="I25" s="13" t="n">
        <v>205</v>
      </c>
      <c r="J25" s="12" t="n">
        <v>185194.66</v>
      </c>
      <c r="K25" s="14" t="n">
        <v>0.2048214207091023</v>
      </c>
    </row>
    <row r="26" ht="18" customHeight="1">
      <c r="A26" s="15" t="inlineStr">
        <is>
          <t>East</t>
        </is>
      </c>
      <c r="B26" s="16" t="n">
        <v>1287643.6</v>
      </c>
      <c r="C26" s="17" t="n">
        <v>292</v>
      </c>
      <c r="D26" s="16" t="n">
        <v>243585.42</v>
      </c>
      <c r="E26" s="18" t="n">
        <v>0.0410958904109589</v>
      </c>
      <c r="G26" s="15" t="inlineStr">
        <is>
          <t>Email Offer</t>
        </is>
      </c>
      <c r="H26" s="16" t="n">
        <v>844455.76</v>
      </c>
      <c r="I26" s="17" t="n">
        <v>222</v>
      </c>
      <c r="J26" s="16" t="n">
        <v>117325.28</v>
      </c>
      <c r="K26" s="18" t="n">
        <v>0.1389359698369516</v>
      </c>
    </row>
    <row r="27">
      <c r="G27" s="11" t="inlineStr">
        <is>
          <t>Influencer</t>
        </is>
      </c>
      <c r="H27" s="12" t="n">
        <v>809556.17</v>
      </c>
      <c r="I27" s="13" t="n">
        <v>191</v>
      </c>
      <c r="J27" s="12" t="n">
        <v>158623.78</v>
      </c>
      <c r="K27" s="14" t="n">
        <v>0.1959391897414604</v>
      </c>
    </row>
    <row r="28">
      <c r="G28" s="15" t="inlineStr">
        <is>
          <t>Festive Sale</t>
        </is>
      </c>
      <c r="H28" s="16" t="n">
        <v>789239.89</v>
      </c>
      <c r="I28" s="17" t="n">
        <v>196</v>
      </c>
      <c r="J28" s="16" t="n">
        <v>147123.38</v>
      </c>
      <c r="K28" s="18" t="n">
        <v>0.1864114851062584</v>
      </c>
    </row>
  </sheetData>
  <mergeCells count="11">
    <mergeCell ref="E6:F6"/>
    <mergeCell ref="C6:D6"/>
    <mergeCell ref="I6:J6"/>
    <mergeCell ref="C5:D5"/>
    <mergeCell ref="A5:B5"/>
    <mergeCell ref="G5:H5"/>
    <mergeCell ref="E5:F5"/>
    <mergeCell ref="I5:J5"/>
    <mergeCell ref="G6:H6"/>
    <mergeCell ref="A6:B6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6" customWidth="1" min="3" max="3"/>
    <col width="18" customWidth="1" min="4" max="4"/>
    <col width="22" customWidth="1" min="5" max="5"/>
    <col width="23" customWidth="1" min="6" max="6"/>
  </cols>
  <sheetData>
    <row r="1" ht="24" customHeight="1">
      <c r="A1" s="19" t="inlineStr">
        <is>
          <t>MONTHLY SALES AND PROFIT TREND</t>
        </is>
      </c>
    </row>
    <row r="2"/>
    <row r="3" ht="22" customHeight="1">
      <c r="A3" s="20" t="inlineStr">
        <is>
          <t>Order Month</t>
        </is>
      </c>
      <c r="B3" s="20" t="inlineStr">
        <is>
          <t>Total Revenue ($)</t>
        </is>
      </c>
      <c r="C3" s="20" t="inlineStr">
        <is>
          <t>Order Count</t>
        </is>
      </c>
      <c r="D3" s="20" t="inlineStr">
        <is>
          <t>Total Cost ($)</t>
        </is>
      </c>
      <c r="E3" s="20" t="inlineStr">
        <is>
          <t>Gross Profit ($)</t>
        </is>
      </c>
      <c r="F3" s="20" t="inlineStr">
        <is>
          <t>Profit Margin %</t>
        </is>
      </c>
    </row>
    <row r="4" ht="18" customHeight="1">
      <c r="A4" s="21" t="inlineStr">
        <is>
          <t>2025-01</t>
        </is>
      </c>
      <c r="B4" s="12" t="n">
        <v>414508.3</v>
      </c>
      <c r="C4" s="13" t="n">
        <v>101</v>
      </c>
      <c r="D4" s="12" t="n">
        <v>336284.42</v>
      </c>
      <c r="E4" s="12" t="n">
        <v>78223.88</v>
      </c>
      <c r="F4" s="14" t="n">
        <v>0.1887148701244342</v>
      </c>
    </row>
    <row r="5" ht="18" customHeight="1">
      <c r="A5" s="22" t="inlineStr">
        <is>
          <t>2025-02</t>
        </is>
      </c>
      <c r="B5" s="16" t="n">
        <v>381797.56</v>
      </c>
      <c r="C5" s="17" t="n">
        <v>84</v>
      </c>
      <c r="D5" s="16" t="n">
        <v>282834.36</v>
      </c>
      <c r="E5" s="16" t="n">
        <v>98963.2</v>
      </c>
      <c r="F5" s="18" t="n">
        <v>0.2592033327819067</v>
      </c>
    </row>
    <row r="6" ht="18" customHeight="1">
      <c r="A6" s="21" t="inlineStr">
        <is>
          <t>2025-03</t>
        </is>
      </c>
      <c r="B6" s="12" t="n">
        <v>253183.26</v>
      </c>
      <c r="C6" s="13" t="n">
        <v>80</v>
      </c>
      <c r="D6" s="12" t="n">
        <v>204061.76</v>
      </c>
      <c r="E6" s="12" t="n">
        <v>49121.5</v>
      </c>
      <c r="F6" s="14" t="n">
        <v>0.1940155917101312</v>
      </c>
    </row>
    <row r="7" ht="18" customHeight="1">
      <c r="A7" s="22" t="inlineStr">
        <is>
          <t>2025-04</t>
        </is>
      </c>
      <c r="B7" s="16" t="n">
        <v>361993.81</v>
      </c>
      <c r="C7" s="17" t="n">
        <v>88</v>
      </c>
      <c r="D7" s="16" t="n">
        <v>299647.47</v>
      </c>
      <c r="E7" s="16" t="n">
        <v>62346.34</v>
      </c>
      <c r="F7" s="18" t="n">
        <v>0.1722304036082827</v>
      </c>
    </row>
    <row r="8" ht="18" customHeight="1">
      <c r="A8" s="21" t="inlineStr">
        <is>
          <t>2025-05</t>
        </is>
      </c>
      <c r="B8" s="12" t="n">
        <v>332373.01</v>
      </c>
      <c r="C8" s="13" t="n">
        <v>86</v>
      </c>
      <c r="D8" s="12" t="n">
        <v>270547.12</v>
      </c>
      <c r="E8" s="12" t="n">
        <v>61825.89</v>
      </c>
      <c r="F8" s="14" t="n">
        <v>0.1860135695133609</v>
      </c>
    </row>
    <row r="9" ht="18" customHeight="1">
      <c r="A9" s="22" t="inlineStr">
        <is>
          <t>2025-06</t>
        </is>
      </c>
      <c r="B9" s="16" t="n">
        <v>373196.49</v>
      </c>
      <c r="C9" s="17" t="n">
        <v>77</v>
      </c>
      <c r="D9" s="16" t="n">
        <v>305755.34</v>
      </c>
      <c r="E9" s="16" t="n">
        <v>67441.14999999999</v>
      </c>
      <c r="F9" s="18" t="n">
        <v>0.1807121765802245</v>
      </c>
    </row>
    <row r="10" ht="18" customHeight="1">
      <c r="A10" s="21" t="inlineStr">
        <is>
          <t>2025-07</t>
        </is>
      </c>
      <c r="B10" s="12" t="n">
        <v>397458.33</v>
      </c>
      <c r="C10" s="13" t="n">
        <v>88</v>
      </c>
      <c r="D10" s="12" t="n">
        <v>318768.7</v>
      </c>
      <c r="E10" s="12" t="n">
        <v>78689.63</v>
      </c>
      <c r="F10" s="14" t="n">
        <v>0.197982087832956</v>
      </c>
    </row>
    <row r="11" ht="18" customHeight="1">
      <c r="A11" s="22" t="inlineStr">
        <is>
          <t>2025-08</t>
        </is>
      </c>
      <c r="B11" s="16" t="n">
        <v>334842.66</v>
      </c>
      <c r="C11" s="17" t="n">
        <v>94</v>
      </c>
      <c r="D11" s="16" t="n">
        <v>275722.86</v>
      </c>
      <c r="E11" s="16" t="n">
        <v>59119.8</v>
      </c>
      <c r="F11" s="18" t="n">
        <v>0.1765599401223249</v>
      </c>
    </row>
    <row r="12" ht="18" customHeight="1">
      <c r="A12" s="21" t="inlineStr">
        <is>
          <t>2025-09</t>
        </is>
      </c>
      <c r="B12" s="12" t="n">
        <v>345674.85</v>
      </c>
      <c r="C12" s="13" t="n">
        <v>77</v>
      </c>
      <c r="D12" s="12" t="n">
        <v>279138.65</v>
      </c>
      <c r="E12" s="12" t="n">
        <v>66536.2</v>
      </c>
      <c r="F12" s="14" t="n">
        <v>0.1924820391185532</v>
      </c>
    </row>
    <row r="13" ht="18" customHeight="1">
      <c r="A13" s="22" t="inlineStr">
        <is>
          <t>2025-10</t>
        </is>
      </c>
      <c r="B13" s="16" t="n">
        <v>364085.7</v>
      </c>
      <c r="C13" s="17" t="n">
        <v>77</v>
      </c>
      <c r="D13" s="16" t="n">
        <v>292943.39</v>
      </c>
      <c r="E13" s="16" t="n">
        <v>71142.31</v>
      </c>
      <c r="F13" s="18" t="n">
        <v>0.1953999017264342</v>
      </c>
    </row>
    <row r="14" ht="18" customHeight="1">
      <c r="A14" s="21" t="inlineStr">
        <is>
          <t>2025-11</t>
        </is>
      </c>
      <c r="B14" s="12" t="n">
        <v>330265.79</v>
      </c>
      <c r="C14" s="13" t="n">
        <v>84</v>
      </c>
      <c r="D14" s="12" t="n">
        <v>264816.02</v>
      </c>
      <c r="E14" s="12" t="n">
        <v>65449.77</v>
      </c>
      <c r="F14" s="14" t="n">
        <v>0.1981730230067123</v>
      </c>
    </row>
    <row r="15" ht="18" customHeight="1">
      <c r="A15" s="22" t="inlineStr">
        <is>
          <t>2025-12</t>
        </is>
      </c>
      <c r="B15" s="16" t="n">
        <v>326024.85</v>
      </c>
      <c r="C15" s="17" t="n">
        <v>87</v>
      </c>
      <c r="D15" s="16" t="n">
        <v>264659.61</v>
      </c>
      <c r="E15" s="16" t="n">
        <v>61365.24</v>
      </c>
      <c r="F15" s="18" t="n">
        <v>0.188222584873515</v>
      </c>
    </row>
    <row r="16" ht="18" customHeight="1">
      <c r="A16" s="21" t="inlineStr">
        <is>
          <t>2026-01</t>
        </is>
      </c>
      <c r="B16" s="12" t="n">
        <v>441892.25</v>
      </c>
      <c r="C16" s="13" t="n">
        <v>89</v>
      </c>
      <c r="D16" s="12" t="n">
        <v>307375.01</v>
      </c>
      <c r="E16" s="12" t="n">
        <v>134517.24</v>
      </c>
      <c r="F16" s="14" t="n">
        <v>0.3044118560576701</v>
      </c>
    </row>
    <row r="17" ht="18" customHeight="1">
      <c r="A17" s="22" t="inlineStr">
        <is>
          <t>2026-02</t>
        </is>
      </c>
      <c r="B17" s="16" t="n">
        <v>388410.22</v>
      </c>
      <c r="C17" s="17" t="n">
        <v>74</v>
      </c>
      <c r="D17" s="16" t="n">
        <v>317467.41</v>
      </c>
      <c r="E17" s="16" t="n">
        <v>70942.81</v>
      </c>
      <c r="F17" s="18" t="n">
        <v>0.1826491846687247</v>
      </c>
    </row>
    <row r="18" ht="18" customHeight="1">
      <c r="A18" s="21" t="inlineStr">
        <is>
          <t>2026-03</t>
        </is>
      </c>
      <c r="B18" s="12" t="n">
        <v>282785.32</v>
      </c>
      <c r="C18" s="13" t="n">
        <v>64</v>
      </c>
      <c r="D18" s="12" t="n">
        <v>225720.97</v>
      </c>
      <c r="E18" s="12" t="n">
        <v>57064.35</v>
      </c>
      <c r="F18" s="14" t="n">
        <v>0.2017938908568521</v>
      </c>
    </row>
    <row r="19">
      <c r="A19" s="23" t="inlineStr">
        <is>
          <t>Total</t>
        </is>
      </c>
      <c r="B19" s="24">
        <f>SUM(B4:B18)</f>
        <v/>
      </c>
      <c r="C19" s="25">
        <f>SUM(C4:C18)</f>
        <v/>
      </c>
      <c r="D19" s="24">
        <f>SUM(D4:D18)</f>
        <v/>
      </c>
      <c r="E19" s="24">
        <f>SUM(E4:E18)</f>
        <v/>
      </c>
      <c r="F19" s="26">
        <f>E19/B19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1" customWidth="1" min="4" max="4"/>
    <col width="20" customWidth="1" min="5" max="5"/>
    <col width="5" customWidth="1" min="6" max="6"/>
    <col width="15" customWidth="1" min="7" max="7"/>
    <col width="22" customWidth="1" min="8" max="8"/>
    <col width="15" customWidth="1" min="9" max="9"/>
    <col width="20" customWidth="1" min="10" max="10"/>
    <col width="24" customWidth="1" min="11" max="11"/>
  </cols>
  <sheetData>
    <row r="1">
      <c r="A1" s="9" t="inlineStr">
        <is>
          <t>SALES BY PRODUCT CATEGORY</t>
        </is>
      </c>
      <c r="G1" s="9" t="inlineStr">
        <is>
          <t>SALES BY CUSTOMER SEGMENT</t>
        </is>
      </c>
    </row>
    <row r="2"/>
    <row r="3" ht="22" customHeight="1">
      <c r="A3" s="10" t="inlineStr">
        <is>
          <t>Category</t>
        </is>
      </c>
      <c r="B3" s="10" t="inlineStr">
        <is>
          <t>Revenue ($)</t>
        </is>
      </c>
      <c r="C3" s="10" t="inlineStr">
        <is>
          <t>Orders</t>
        </is>
      </c>
      <c r="D3" s="10" t="inlineStr">
        <is>
          <t>Avg Price ($)</t>
        </is>
      </c>
      <c r="E3" s="10" t="inlineStr">
        <is>
          <t>Gross Profit ($)</t>
        </is>
      </c>
      <c r="F3" s="10" t="inlineStr">
        <is>
          <t>Profit Margin %</t>
        </is>
      </c>
      <c r="G3" s="10" t="inlineStr">
        <is>
          <t>Age Group</t>
        </is>
      </c>
      <c r="H3" s="10" t="inlineStr">
        <is>
          <t>Revenue ($)</t>
        </is>
      </c>
      <c r="I3" s="10" t="inlineStr">
        <is>
          <t>Orders</t>
        </is>
      </c>
      <c r="J3" s="10" t="inlineStr">
        <is>
          <t>Unique Customers</t>
        </is>
      </c>
      <c r="K3" s="10" t="inlineStr">
        <is>
          <t>Revenue/Customer ($)</t>
        </is>
      </c>
    </row>
    <row r="4" ht="18" customHeight="1">
      <c r="A4" s="11" t="inlineStr">
        <is>
          <t>Accessories</t>
        </is>
      </c>
      <c r="B4" s="12" t="n">
        <v>1609821.52</v>
      </c>
      <c r="C4" s="13" t="n">
        <v>478</v>
      </c>
      <c r="D4" s="12" t="n">
        <v>2055.106861924686</v>
      </c>
      <c r="E4" s="12" t="n">
        <v>345746.17</v>
      </c>
      <c r="F4" s="14" t="n">
        <v>0.2147729830323053</v>
      </c>
      <c r="G4" s="21" t="inlineStr">
        <is>
          <t>18-24</t>
        </is>
      </c>
      <c r="H4" s="12" t="n">
        <v>884965.42</v>
      </c>
      <c r="I4" s="13" t="n">
        <v>210</v>
      </c>
      <c r="J4" s="13" t="n">
        <v>154</v>
      </c>
      <c r="K4" s="12" t="n">
        <v>5746.528701298702</v>
      </c>
    </row>
    <row r="5" ht="18" customHeight="1">
      <c r="A5" s="15" t="inlineStr">
        <is>
          <t>Wearables</t>
        </is>
      </c>
      <c r="B5" s="16" t="n">
        <v>1368209.84</v>
      </c>
      <c r="C5" s="17" t="n">
        <v>152</v>
      </c>
      <c r="D5" s="16" t="n">
        <v>6042.260592105263</v>
      </c>
      <c r="E5" s="16" t="n">
        <v>208448.69</v>
      </c>
      <c r="F5" s="18" t="n">
        <v>0.1523514039337709</v>
      </c>
      <c r="G5" s="22" t="inlineStr">
        <is>
          <t>25-34</t>
        </is>
      </c>
      <c r="H5" s="16" t="n">
        <v>1032052.93</v>
      </c>
      <c r="I5" s="17" t="n">
        <v>246</v>
      </c>
      <c r="J5" s="17" t="n">
        <v>183</v>
      </c>
      <c r="K5" s="16" t="n">
        <v>5639.63349726776</v>
      </c>
    </row>
    <row r="6" ht="18" customHeight="1">
      <c r="A6" s="11" t="inlineStr">
        <is>
          <t>Audio</t>
        </is>
      </c>
      <c r="B6" s="12" t="n">
        <v>1255686.34</v>
      </c>
      <c r="C6" s="13" t="n">
        <v>308</v>
      </c>
      <c r="D6" s="12" t="n">
        <v>2426.802792207792</v>
      </c>
      <c r="E6" s="12" t="n">
        <v>264390.68</v>
      </c>
      <c r="F6" s="14" t="n">
        <v>0.2105547154395261</v>
      </c>
      <c r="G6" s="21" t="inlineStr">
        <is>
          <t>35-44</t>
        </is>
      </c>
      <c r="H6" s="12" t="n">
        <v>1206867.84</v>
      </c>
      <c r="I6" s="13" t="n">
        <v>268</v>
      </c>
      <c r="J6" s="13" t="n">
        <v>201</v>
      </c>
      <c r="K6" s="12" t="n">
        <v>6004.317611940299</v>
      </c>
    </row>
    <row r="7" ht="18" customHeight="1">
      <c r="A7" s="15" t="inlineStr">
        <is>
          <t>Office</t>
        </is>
      </c>
      <c r="B7" s="16" t="n">
        <v>1094774.7</v>
      </c>
      <c r="C7" s="17" t="n">
        <v>312</v>
      </c>
      <c r="D7" s="16" t="n">
        <v>2316.831826923077</v>
      </c>
      <c r="E7" s="16" t="n">
        <v>264163.77</v>
      </c>
      <c r="F7" s="18" t="n">
        <v>0.2412950993478384</v>
      </c>
      <c r="G7" s="22" t="inlineStr">
        <is>
          <t>45-54</t>
        </is>
      </c>
      <c r="H7" s="16" t="n">
        <v>1059588.09</v>
      </c>
      <c r="I7" s="17" t="n">
        <v>267</v>
      </c>
      <c r="J7" s="17" t="n">
        <v>201</v>
      </c>
      <c r="K7" s="16" t="n">
        <v>5271.582537313433</v>
      </c>
    </row>
    <row r="8">
      <c r="G8" s="21" t="inlineStr">
        <is>
          <t>55+</t>
        </is>
      </c>
      <c r="H8" s="12" t="n">
        <v>1145018.12</v>
      </c>
      <c r="I8" s="13" t="n">
        <v>259</v>
      </c>
      <c r="J8" s="13" t="n">
        <v>184</v>
      </c>
      <c r="K8" s="12" t="n">
        <v>6222.92456521739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2026-06-03T06:47:00Z</dcterms:created>
  <dcterms:modified xsi:type="dcterms:W3CDTF">2026-06-03T06:47:00Z</dcterms:modified>
</cp:coreProperties>
</file>